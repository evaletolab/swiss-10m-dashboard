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4\14_02\14_02_5\"/>
    </mc:Choice>
  </mc:AlternateContent>
  <xr:revisionPtr revIDLastSave="0" documentId="13_ncr:1_{2DA244A3-A737-4D7D-8F2B-B053C86EDA04}" xr6:coauthVersionLast="47" xr6:coauthVersionMax="47" xr10:uidLastSave="{00000000-0000-0000-0000-000000000000}"/>
  <bookViews>
    <workbookView xWindow="32460" yWindow="1545" windowWidth="23430" windowHeight="13920" tabRatio="815" xr2:uid="{19E7C1A2-E743-4AAE-8676-6B46A6D5F956}"/>
  </bookViews>
  <sheets>
    <sheet name="2025" sheetId="29" r:id="rId1"/>
  </sheets>
  <definedNames>
    <definedName name="_xlnm.Print_Area" localSheetId="0">'2025'!$A$1:$H$70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9" l="1"/>
  <c r="G15" i="29"/>
  <c r="H15" i="29"/>
  <c r="F16" i="29"/>
  <c r="G16" i="29"/>
  <c r="H16" i="29"/>
  <c r="F17" i="29"/>
  <c r="G17" i="29"/>
  <c r="H17" i="29"/>
  <c r="F18" i="29"/>
  <c r="G18" i="29"/>
  <c r="H18" i="29"/>
  <c r="F19" i="29"/>
  <c r="G19" i="29"/>
  <c r="H19" i="29"/>
  <c r="F20" i="29"/>
  <c r="G20" i="29"/>
  <c r="H20" i="29"/>
  <c r="F21" i="29"/>
  <c r="G21" i="29"/>
  <c r="H21" i="29"/>
  <c r="F22" i="29"/>
  <c r="G22" i="29"/>
  <c r="H22" i="29"/>
  <c r="F23" i="29"/>
  <c r="G23" i="29"/>
  <c r="H23" i="29"/>
  <c r="F24" i="29"/>
  <c r="G24" i="29"/>
  <c r="H24" i="29"/>
  <c r="F25" i="29"/>
  <c r="G25" i="29"/>
  <c r="H25" i="29"/>
  <c r="F26" i="29"/>
  <c r="G26" i="29"/>
  <c r="H26" i="29"/>
  <c r="F27" i="29"/>
  <c r="G27" i="29"/>
  <c r="H27" i="29"/>
  <c r="F28" i="29"/>
  <c r="G28" i="29"/>
  <c r="H28" i="29"/>
  <c r="F29" i="29"/>
  <c r="G29" i="29"/>
  <c r="H29" i="29"/>
  <c r="F30" i="29"/>
  <c r="G30" i="29"/>
  <c r="H30" i="29"/>
  <c r="F31" i="29"/>
  <c r="G31" i="29"/>
  <c r="H31" i="29"/>
  <c r="F32" i="29"/>
  <c r="G32" i="29"/>
  <c r="H32" i="29"/>
  <c r="F33" i="29"/>
  <c r="G33" i="29"/>
  <c r="H33" i="29"/>
  <c r="F34" i="29"/>
  <c r="G34" i="29"/>
  <c r="H34" i="29"/>
  <c r="F35" i="29"/>
  <c r="G35" i="29"/>
  <c r="H35" i="29"/>
  <c r="F36" i="29"/>
  <c r="G36" i="29"/>
  <c r="H36" i="29"/>
  <c r="F37" i="29"/>
  <c r="G37" i="29"/>
  <c r="H37" i="29"/>
  <c r="F38" i="29"/>
  <c r="G38" i="29"/>
  <c r="H38" i="29"/>
  <c r="F39" i="29"/>
  <c r="G39" i="29"/>
  <c r="H39" i="29"/>
  <c r="F40" i="29"/>
  <c r="H40" i="29"/>
  <c r="F41" i="29"/>
  <c r="G41" i="29"/>
  <c r="H41" i="29"/>
  <c r="F42" i="29"/>
  <c r="G42" i="29"/>
  <c r="H42" i="29"/>
  <c r="F43" i="29"/>
  <c r="G43" i="29"/>
  <c r="H43" i="29"/>
  <c r="F44" i="29"/>
  <c r="G44" i="29"/>
  <c r="H44" i="29"/>
  <c r="F45" i="29"/>
  <c r="G45" i="29"/>
  <c r="H45" i="29"/>
  <c r="F46" i="29"/>
  <c r="G46" i="29"/>
  <c r="H46" i="29"/>
  <c r="F47" i="29"/>
  <c r="G47" i="29"/>
  <c r="H47" i="29"/>
  <c r="F48" i="29"/>
  <c r="G48" i="29"/>
  <c r="H48" i="29"/>
  <c r="F49" i="29"/>
  <c r="G49" i="29"/>
  <c r="H49" i="29"/>
  <c r="F50" i="29"/>
  <c r="G50" i="29"/>
  <c r="H50" i="29"/>
  <c r="F51" i="29"/>
  <c r="G51" i="29"/>
  <c r="H51" i="29"/>
  <c r="F52" i="29"/>
  <c r="G52" i="29"/>
  <c r="H52" i="29"/>
  <c r="F53" i="29"/>
  <c r="G53" i="29"/>
  <c r="H53" i="29"/>
  <c r="F54" i="29"/>
  <c r="G54" i="29"/>
  <c r="H54" i="29"/>
  <c r="F55" i="29"/>
  <c r="G55" i="29"/>
  <c r="H55" i="29"/>
  <c r="F56" i="29"/>
  <c r="G56" i="29"/>
  <c r="H56" i="29"/>
  <c r="F57" i="29"/>
  <c r="G57" i="29"/>
  <c r="H57" i="29"/>
  <c r="F58" i="29"/>
  <c r="G58" i="29"/>
  <c r="H58" i="29"/>
  <c r="F59" i="29"/>
  <c r="G59" i="29"/>
  <c r="H59" i="29"/>
  <c r="F60" i="29"/>
  <c r="G60" i="29"/>
  <c r="H60" i="29"/>
  <c r="G14" i="29"/>
  <c r="H14" i="29"/>
  <c r="F14" i="29"/>
  <c r="C61" i="29"/>
  <c r="G61" i="29" s="1"/>
  <c r="D61" i="29"/>
  <c r="H61" i="29" s="1"/>
  <c r="B61" i="29"/>
  <c r="F61" i="29" s="1"/>
</calcChain>
</file>

<file path=xl/sharedStrings.xml><?xml version="1.0" encoding="utf-8"?>
<sst xmlns="http://schemas.openxmlformats.org/spreadsheetml/2006/main" count="72" uniqueCount="67">
  <si>
    <t>Anesthésiologie</t>
  </si>
  <si>
    <t>Chirurgie</t>
  </si>
  <si>
    <t>Gynécologie et obstétrique</t>
  </si>
  <si>
    <t>Neurochirurgie</t>
  </si>
  <si>
    <t>Neurologie</t>
  </si>
  <si>
    <t>Ophtalmologie</t>
  </si>
  <si>
    <t>Pédiatrie</t>
  </si>
  <si>
    <t>Pathologie</t>
  </si>
  <si>
    <t>Urologie</t>
  </si>
  <si>
    <t>Médecine légale</t>
  </si>
  <si>
    <t>Prévention et santé publique</t>
  </si>
  <si>
    <t>Angiologie</t>
  </si>
  <si>
    <t>Médecine du travail</t>
  </si>
  <si>
    <t>Cardiologie</t>
  </si>
  <si>
    <t>Chirurgie pédiatrique</t>
  </si>
  <si>
    <t>Oncologie médicale</t>
  </si>
  <si>
    <t>Néphrologie</t>
  </si>
  <si>
    <t>Médecine nucléaire</t>
  </si>
  <si>
    <t>Total</t>
  </si>
  <si>
    <t>Médecine physique et réadaptation</t>
  </si>
  <si>
    <t>Gastroentérologie</t>
  </si>
  <si>
    <t>Hématologie</t>
  </si>
  <si>
    <t>Chirurgie cardiaque et vasculaire thoracique</t>
  </si>
  <si>
    <t>Médecine intensive</t>
  </si>
  <si>
    <t>Infectiologie</t>
  </si>
  <si>
    <t>Génétique médicale</t>
  </si>
  <si>
    <t>Pneumologie</t>
  </si>
  <si>
    <t>Radiologie</t>
  </si>
  <si>
    <t>Rhumatologie</t>
  </si>
  <si>
    <t>Dermatologie et vénéréologie</t>
  </si>
  <si>
    <t>Oto-rhino-laryngologie</t>
  </si>
  <si>
    <t>Situation au 31 décembre</t>
  </si>
  <si>
    <t>Chirurgie de la main</t>
  </si>
  <si>
    <t>Office cantonal de la statistique - OCSTAT</t>
  </si>
  <si>
    <t>Répartition en %</t>
  </si>
  <si>
    <t>Chirurgie orale et maxillo-faciale</t>
  </si>
  <si>
    <t>Canton de Genève</t>
  </si>
  <si>
    <t>Chirurgie thoracique</t>
  </si>
  <si>
    <t>Chirurgie vasculaire</t>
  </si>
  <si>
    <t>Femmes</t>
  </si>
  <si>
    <t>Hommes</t>
  </si>
  <si>
    <t xml:space="preserve">Nombre </t>
  </si>
  <si>
    <t xml:space="preserve">(2) Dans le cas où un médecin possède plusieurs titres postgrades, le dernier obtenu a été retenu. </t>
  </si>
  <si>
    <t>Médecine interne générale</t>
  </si>
  <si>
    <t xml:space="preserve">(3) Le titre de médecin praticien délivré en Suisse est équivalent en Europe au titre de médecin généraliste. Les médecins praticiens disposent des compétences pour exercer </t>
  </si>
  <si>
    <r>
      <t xml:space="preserve">en 2025 </t>
    </r>
    <r>
      <rPr>
        <sz val="10"/>
        <rFont val="Arial Narrow"/>
        <family val="2"/>
      </rPr>
      <t>(1)</t>
    </r>
    <r>
      <rPr>
        <b/>
        <sz val="10"/>
        <rFont val="Arial Narrow"/>
        <family val="2"/>
      </rPr>
      <t xml:space="preserve"> </t>
    </r>
    <r>
      <rPr>
        <sz val="10"/>
        <rFont val="Arial Narrow"/>
        <family val="2"/>
      </rPr>
      <t>(2)</t>
    </r>
  </si>
  <si>
    <t>Allergologie et immunologie clinique</t>
  </si>
  <si>
    <t>Chirurgie orthopédique et traumatologie de l'appareil locomoteur</t>
  </si>
  <si>
    <t>Chirurgie plastique, reconstructive et esthétique</t>
  </si>
  <si>
    <t>Endocrinologie-diabétologie</t>
  </si>
  <si>
    <t>Médecine pharmaceutique</t>
  </si>
  <si>
    <t>Médecine tropicale et médecine des voyages</t>
  </si>
  <si>
    <t>Pharmacologie et toxicologie cliniques</t>
  </si>
  <si>
    <t>Psychiatrie et psychothérapie</t>
  </si>
  <si>
    <t>Psychiatrie et psychothérapie d'enfants et d'adolescents</t>
  </si>
  <si>
    <t>Radio-oncologie_radiothérapie</t>
  </si>
  <si>
    <t>-</t>
  </si>
  <si>
    <t xml:space="preserve">(4) Les médecins qui ne disposent pas d'un titre postgrade ont été autorisés à pratiquer sous une ancienne législation. </t>
  </si>
  <si>
    <t>Médecin praticien (3)</t>
  </si>
  <si>
    <t>Sans titre postgrade (4)</t>
  </si>
  <si>
    <t xml:space="preserve">      la médecine sous leur propre responsabilité. La formation postgraduée de trois ans est une exigence minimale ne donnant pas encore droit à un titre postgrade de spécialiste.</t>
  </si>
  <si>
    <t>Médecins autorisés à pratiquer, selon le sexe, par spécialité,</t>
  </si>
  <si>
    <t xml:space="preserve">(1) Afin de pouvoir exercer la médecine sous propre responsabilité dans le canton de Genève, un médecin doit être titulaire d'un titre postgrade et demander une autorisation </t>
  </si>
  <si>
    <t xml:space="preserve">     de pratiquer auprès de l'Office cantonal de la santé du canton de Genève. Un médecin peut néanmoins disposer d’une autorisation de pratiquer sans forcément exercer.</t>
  </si>
  <si>
    <r>
      <t>Source</t>
    </r>
    <r>
      <rPr>
        <i/>
        <sz val="8"/>
        <rFont val="Arial Narrow"/>
        <family val="2"/>
      </rPr>
      <t xml:space="preserve"> : Office fédéral de la santé publique / Office cantonal de la santé - Medreg </t>
    </r>
  </si>
  <si>
    <t>T 14.02.5.10</t>
  </si>
  <si>
    <t>Date de mise à jour : 13.03.2026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</si>
</sst>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6" x14ac:knownFonts="1">
    <font>
      <sz val="8"/>
      <name val="Arial Narrow"/>
    </font>
    <font>
      <sz val="8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i/>
      <sz val="10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b/>
      <sz val="8"/>
      <name val="Arial Narrow"/>
      <family val="2"/>
    </font>
    <font>
      <sz val="8.5"/>
      <name val="Helv"/>
    </font>
    <font>
      <b/>
      <sz val="10"/>
      <color indexed="48"/>
      <name val="Arial Narrow"/>
      <family val="2"/>
    </font>
    <font>
      <sz val="11"/>
      <color rgb="FF000000"/>
      <name val="Calibri"/>
      <family val="2"/>
      <scheme val="minor"/>
    </font>
    <font>
      <sz val="8"/>
      <color rgb="FFFF0000"/>
      <name val="Arial Narrow"/>
      <family val="2"/>
    </font>
    <font>
      <b/>
      <sz val="8"/>
      <color rgb="FFFF0000"/>
      <name val="Arial Narrow"/>
      <family val="2"/>
    </font>
    <font>
      <b/>
      <i/>
      <sz val="8"/>
      <name val="Arial Narrow"/>
      <family val="2"/>
    </font>
    <font>
      <i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48"/>
      </bottom>
      <diagonal/>
    </border>
  </borders>
  <cellStyleXfs count="3">
    <xf numFmtId="0" fontId="0" fillId="0" borderId="0"/>
    <xf numFmtId="0" fontId="11" fillId="0" borderId="0"/>
    <xf numFmtId="0" fontId="9" fillId="0" borderId="0"/>
  </cellStyleXfs>
  <cellXfs count="53">
    <xf numFmtId="0" fontId="0" fillId="0" borderId="0" xfId="0"/>
    <xf numFmtId="1" fontId="1" fillId="0" borderId="0" xfId="0" applyNumberFormat="1" applyFont="1" applyBorder="1" applyAlignment="1">
      <alignment horizontal="left"/>
    </xf>
    <xf numFmtId="3" fontId="1" fillId="0" borderId="0" xfId="0" applyNumberFormat="1" applyFont="1"/>
    <xf numFmtId="3" fontId="1" fillId="0" borderId="0" xfId="0" applyNumberFormat="1" applyFont="1" applyBorder="1" applyAlignment="1"/>
    <xf numFmtId="3" fontId="6" fillId="0" borderId="0" xfId="0" applyNumberFormat="1" applyFont="1" applyBorder="1" applyAlignment="1"/>
    <xf numFmtId="3" fontId="7" fillId="0" borderId="0" xfId="0" applyNumberFormat="1" applyFont="1" applyBorder="1" applyAlignment="1"/>
    <xf numFmtId="3" fontId="5" fillId="0" borderId="0" xfId="0" applyNumberFormat="1" applyFont="1" applyBorder="1" applyAlignment="1"/>
    <xf numFmtId="1" fontId="1" fillId="0" borderId="0" xfId="0" quotePrefix="1" applyNumberFormat="1" applyFont="1" applyBorder="1" applyAlignment="1">
      <alignment horizontal="left"/>
    </xf>
    <xf numFmtId="3" fontId="1" fillId="0" borderId="0" xfId="0" applyNumberFormat="1" applyFont="1" applyFill="1" applyBorder="1"/>
    <xf numFmtId="3" fontId="4" fillId="0" borderId="0" xfId="0" applyNumberFormat="1" applyFont="1" applyFill="1" applyBorder="1" applyAlignment="1">
      <alignment horizontal="right"/>
    </xf>
    <xf numFmtId="3" fontId="1" fillId="0" borderId="0" xfId="0" applyNumberFormat="1" applyFont="1" applyBorder="1"/>
    <xf numFmtId="3" fontId="5" fillId="0" borderId="0" xfId="0" applyNumberFormat="1" applyFont="1" applyFill="1" applyBorder="1"/>
    <xf numFmtId="3" fontId="5" fillId="0" borderId="0" xfId="0" applyNumberFormat="1" applyFont="1" applyFill="1" applyBorder="1" applyAlignment="1">
      <alignment horizontal="right"/>
    </xf>
    <xf numFmtId="3" fontId="5" fillId="0" borderId="0" xfId="0" applyNumberFormat="1" applyFont="1" applyBorder="1"/>
    <xf numFmtId="3" fontId="1" fillId="0" borderId="0" xfId="0" applyNumberFormat="1" applyFont="1" applyBorder="1" applyAlignment="1">
      <alignment horizontal="right"/>
    </xf>
    <xf numFmtId="3" fontId="1" fillId="0" borderId="0" xfId="0" applyNumberFormat="1" applyFont="1" applyFill="1" applyBorder="1" applyAlignment="1">
      <alignment horizontal="right"/>
    </xf>
    <xf numFmtId="3" fontId="5" fillId="0" borderId="1" xfId="0" applyNumberFormat="1" applyFont="1" applyFill="1" applyBorder="1"/>
    <xf numFmtId="3" fontId="1" fillId="0" borderId="1" xfId="0" applyNumberFormat="1" applyFont="1" applyBorder="1" applyAlignment="1">
      <alignment horizontal="right"/>
    </xf>
    <xf numFmtId="3" fontId="1" fillId="0" borderId="1" xfId="0" applyNumberFormat="1" applyFont="1" applyFill="1" applyBorder="1" applyAlignment="1">
      <alignment horizontal="right"/>
    </xf>
    <xf numFmtId="3" fontId="5" fillId="0" borderId="0" xfId="0" applyNumberFormat="1" applyFont="1" applyBorder="1" applyAlignment="1">
      <alignment horizontal="left"/>
    </xf>
    <xf numFmtId="3" fontId="3" fillId="0" borderId="0" xfId="0" applyNumberFormat="1" applyFont="1" applyBorder="1" applyAlignment="1">
      <alignment horizontal="left"/>
    </xf>
    <xf numFmtId="1" fontId="1" fillId="0" borderId="0" xfId="0" applyNumberFormat="1" applyFont="1" applyBorder="1" applyAlignment="1">
      <alignment horizontal="right" vertical="center"/>
    </xf>
    <xf numFmtId="3" fontId="1" fillId="0" borderId="0" xfId="0" applyNumberFormat="1" applyFont="1" applyFill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3" fontId="8" fillId="0" borderId="0" xfId="0" applyNumberFormat="1" applyFont="1" applyFill="1"/>
    <xf numFmtId="1" fontId="6" fillId="0" borderId="0" xfId="0" applyNumberFormat="1" applyFont="1" applyFill="1" applyBorder="1" applyAlignment="1">
      <alignment horizontal="left"/>
    </xf>
    <xf numFmtId="0" fontId="10" fillId="0" borderId="0" xfId="0" applyFont="1"/>
    <xf numFmtId="0" fontId="1" fillId="0" borderId="0" xfId="0" applyFont="1"/>
    <xf numFmtId="0" fontId="0" fillId="0" borderId="2" xfId="0" applyBorder="1"/>
    <xf numFmtId="0" fontId="1" fillId="0" borderId="2" xfId="0" applyFont="1" applyBorder="1"/>
    <xf numFmtId="3" fontId="3" fillId="0" borderId="0" xfId="0" applyNumberFormat="1" applyFont="1" applyBorder="1"/>
    <xf numFmtId="3" fontId="3" fillId="0" borderId="0" xfId="0" applyNumberFormat="1" applyFont="1" applyFill="1" applyBorder="1"/>
    <xf numFmtId="1" fontId="0" fillId="0" borderId="0" xfId="0" applyNumberFormat="1" applyFont="1" applyBorder="1" applyAlignment="1">
      <alignment horizontal="left"/>
    </xf>
    <xf numFmtId="1" fontId="0" fillId="0" borderId="0" xfId="0" applyNumberFormat="1" applyFont="1" applyBorder="1" applyAlignment="1">
      <alignment horizontal="right" vertical="center"/>
    </xf>
    <xf numFmtId="1" fontId="6" fillId="0" borderId="0" xfId="0" applyNumberFormat="1" applyFont="1" applyBorder="1" applyAlignment="1">
      <alignment horizontal="right" vertical="center"/>
    </xf>
    <xf numFmtId="3" fontId="6" fillId="0" borderId="0" xfId="0" applyNumberFormat="1" applyFont="1" applyBorder="1" applyAlignment="1">
      <alignment horizontal="right"/>
    </xf>
    <xf numFmtId="3" fontId="0" fillId="0" borderId="0" xfId="0" applyNumberFormat="1" applyFont="1" applyBorder="1" applyAlignment="1"/>
    <xf numFmtId="164" fontId="6" fillId="0" borderId="0" xfId="0" applyNumberFormat="1" applyFont="1" applyBorder="1" applyAlignment="1"/>
    <xf numFmtId="164" fontId="7" fillId="0" borderId="0" xfId="0" applyNumberFormat="1" applyFont="1" applyBorder="1" applyAlignment="1"/>
    <xf numFmtId="3" fontId="6" fillId="0" borderId="0" xfId="0" applyNumberFormat="1" applyFont="1" applyFill="1" applyBorder="1" applyAlignment="1">
      <alignment horizontal="left"/>
    </xf>
    <xf numFmtId="3" fontId="12" fillId="0" borderId="0" xfId="0" applyNumberFormat="1" applyFont="1" applyFill="1" applyBorder="1" applyAlignment="1">
      <alignment horizontal="right"/>
    </xf>
    <xf numFmtId="1" fontId="12" fillId="0" borderId="0" xfId="0" applyNumberFormat="1" applyFont="1" applyFill="1" applyAlignment="1">
      <alignment horizontal="right"/>
    </xf>
    <xf numFmtId="3" fontId="12" fillId="0" borderId="0" xfId="0" applyNumberFormat="1" applyFont="1" applyFill="1" applyAlignment="1">
      <alignment horizontal="right"/>
    </xf>
    <xf numFmtId="3" fontId="12" fillId="0" borderId="0" xfId="0" applyNumberFormat="1" applyFont="1" applyBorder="1" applyAlignment="1">
      <alignment horizontal="right"/>
    </xf>
    <xf numFmtId="3" fontId="13" fillId="0" borderId="0" xfId="0" applyNumberFormat="1" applyFont="1" applyFill="1"/>
    <xf numFmtId="164" fontId="6" fillId="0" borderId="0" xfId="0" applyNumberFormat="1" applyFont="1" applyBorder="1" applyAlignment="1">
      <alignment horizontal="right"/>
    </xf>
    <xf numFmtId="1" fontId="14" fillId="0" borderId="0" xfId="0" quotePrefix="1" applyNumberFormat="1" applyFont="1" applyFill="1" applyBorder="1" applyAlignment="1">
      <alignment horizontal="left"/>
    </xf>
    <xf numFmtId="3" fontId="6" fillId="0" borderId="0" xfId="0" applyNumberFormat="1" applyFont="1" applyFill="1" applyBorder="1" applyAlignment="1"/>
    <xf numFmtId="3" fontId="1" fillId="0" borderId="0" xfId="0" applyNumberFormat="1" applyFont="1" applyFill="1" applyBorder="1" applyAlignment="1"/>
    <xf numFmtId="3" fontId="7" fillId="0" borderId="0" xfId="0" applyNumberFormat="1" applyFont="1" applyFill="1" applyBorder="1" applyAlignment="1"/>
    <xf numFmtId="3" fontId="3" fillId="0" borderId="0" xfId="0" applyNumberFormat="1" applyFont="1" applyAlignment="1">
      <alignment horizontal="right"/>
    </xf>
    <xf numFmtId="3" fontId="6" fillId="0" borderId="0" xfId="0" applyNumberFormat="1" applyFont="1" applyFill="1" applyAlignment="1">
      <alignment horizontal="left"/>
    </xf>
    <xf numFmtId="1" fontId="6" fillId="0" borderId="0" xfId="0" applyNumberFormat="1" applyFont="1" applyBorder="1" applyAlignment="1">
      <alignment horizontal="left" wrapText="1"/>
    </xf>
  </cellXfs>
  <cellStyles count="3">
    <cellStyle name="Normal" xfId="0" builtinId="0"/>
    <cellStyle name="Normal 2" xfId="1" xr:uid="{52C15CAF-D246-47DB-9825-6C21714184D8}"/>
    <cellStyle name="Standard_Dép cantons 96" xfId="2" xr:uid="{07581BE9-D894-4950-A675-22D8E720B42C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75C4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E5E5E5"/>
      <rgbColor rgb="00CFCECE"/>
      <rgbColor rgb="00B2B2B2"/>
      <rgbColor rgb="00999999"/>
      <rgbColor rgb="007F7F7F"/>
      <rgbColor rgb="00666666"/>
      <rgbColor rgb="004C4C4C"/>
      <rgbColor rgb="00B2B2B2"/>
      <rgbColor rgb="003A75C4"/>
      <rgbColor rgb="00FF00FF"/>
      <rgbColor rgb="00FFFF00"/>
      <rgbColor rgb="0000FFFF"/>
      <rgbColor rgb="00800080"/>
      <rgbColor rgb="00800000"/>
      <rgbColor rgb="00FF0000"/>
      <rgbColor rgb="001F61A9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495300</xdr:colOff>
      <xdr:row>0</xdr:row>
      <xdr:rowOff>25400</xdr:rowOff>
    </xdr:from>
    <xdr:to>
      <xdr:col>7</xdr:col>
      <xdr:colOff>672075</xdr:colOff>
      <xdr:row>1</xdr:row>
      <xdr:rowOff>62079</xdr:rowOff>
    </xdr:to>
    <xdr:pic>
      <xdr:nvPicPr>
        <xdr:cNvPr id="138248" name="Picture 2" descr="logo stat-ge">
          <a:extLst>
            <a:ext uri="{FF2B5EF4-FFF2-40B4-BE49-F238E27FC236}">
              <a16:creationId xmlns:a16="http://schemas.microsoft.com/office/drawing/2014/main" id="{6FEAD0F6-B95B-F37C-02CB-A996A8379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25400"/>
          <a:ext cx="799075" cy="4748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35C1-D23D-4F5E-9DCE-95B82C1D0F5A}">
  <sheetPr>
    <pageSetUpPr fitToPage="1"/>
  </sheetPr>
  <dimension ref="A1:L70"/>
  <sheetViews>
    <sheetView tabSelected="1" zoomScaleNormal="100" workbookViewId="0">
      <pane ySplit="13" topLeftCell="A59" activePane="bottomLeft" state="frozen"/>
      <selection pane="bottomLeft" activeCell="I1" sqref="I1"/>
    </sheetView>
  </sheetViews>
  <sheetFormatPr baseColWidth="10" defaultColWidth="16" defaultRowHeight="10" customHeight="1" x14ac:dyDescent="0.25"/>
  <cols>
    <col min="1" max="1" width="52.5703125" style="2" customWidth="1"/>
    <col min="2" max="3" width="14" style="2" customWidth="1"/>
    <col min="4" max="4" width="15" style="2" customWidth="1"/>
    <col min="5" max="5" width="4.85546875" style="2" customWidth="1"/>
    <col min="6" max="7" width="14" style="2" customWidth="1"/>
    <col min="8" max="8" width="17.140625" style="2" customWidth="1"/>
    <col min="9" max="16384" width="16" style="2"/>
  </cols>
  <sheetData>
    <row r="1" spans="1:8" s="27" customFormat="1" ht="34.5" customHeight="1" x14ac:dyDescent="0.3">
      <c r="A1" s="26" t="s">
        <v>33</v>
      </c>
    </row>
    <row r="2" spans="1:8" s="27" customFormat="1" ht="5.15" customHeight="1" thickBot="1" x14ac:dyDescent="0.3">
      <c r="A2" s="28"/>
      <c r="B2" s="29"/>
      <c r="C2" s="29"/>
      <c r="D2" s="29"/>
      <c r="E2" s="29"/>
      <c r="F2" s="29"/>
      <c r="G2" s="29"/>
      <c r="H2" s="29"/>
    </row>
    <row r="3" spans="1:8" s="10" customFormat="1" ht="32.25" customHeight="1" x14ac:dyDescent="0.3">
      <c r="A3" s="20" t="s">
        <v>61</v>
      </c>
      <c r="B3" s="9"/>
      <c r="C3" s="8"/>
      <c r="D3" s="8"/>
      <c r="E3" s="9"/>
      <c r="F3" s="9"/>
      <c r="G3" s="8"/>
      <c r="H3" s="8"/>
    </row>
    <row r="4" spans="1:8" s="30" customFormat="1" ht="15" customHeight="1" x14ac:dyDescent="0.3">
      <c r="A4" s="20" t="s">
        <v>45</v>
      </c>
      <c r="B4" s="9"/>
      <c r="C4" s="31"/>
      <c r="D4" s="31"/>
      <c r="E4" s="9"/>
      <c r="F4" s="9"/>
      <c r="G4" s="31"/>
      <c r="H4" s="50" t="s">
        <v>65</v>
      </c>
    </row>
    <row r="5" spans="1:8" s="13" customFormat="1" ht="16" customHeight="1" x14ac:dyDescent="0.25">
      <c r="A5" s="19" t="s">
        <v>31</v>
      </c>
      <c r="B5" s="12"/>
      <c r="C5" s="11"/>
      <c r="D5" s="11"/>
      <c r="E5" s="12"/>
      <c r="F5" s="12"/>
      <c r="G5" s="11"/>
      <c r="H5" s="12" t="s">
        <v>36</v>
      </c>
    </row>
    <row r="6" spans="1:8" s="10" customFormat="1" ht="4.1500000000000004" customHeight="1" x14ac:dyDescent="0.25">
      <c r="A6" s="16"/>
      <c r="B6" s="16"/>
      <c r="C6" s="16"/>
      <c r="D6" s="16"/>
      <c r="E6" s="16"/>
      <c r="F6" s="16"/>
      <c r="G6" s="16"/>
      <c r="H6" s="16"/>
    </row>
    <row r="7" spans="1:8" s="10" customFormat="1" ht="4.1500000000000004" customHeight="1" x14ac:dyDescent="0.25">
      <c r="A7" s="11"/>
      <c r="B7" s="11"/>
      <c r="C7" s="11"/>
      <c r="D7" s="11"/>
      <c r="E7" s="11"/>
      <c r="F7" s="11"/>
      <c r="G7" s="11"/>
      <c r="H7" s="11"/>
    </row>
    <row r="8" spans="1:8" s="10" customFormat="1" ht="12.25" customHeight="1" x14ac:dyDescent="0.25">
      <c r="A8" s="11"/>
      <c r="B8" s="11"/>
      <c r="C8" s="21"/>
      <c r="D8" s="33" t="s">
        <v>41</v>
      </c>
      <c r="E8" s="21"/>
      <c r="F8" s="11"/>
      <c r="G8" s="21"/>
      <c r="H8" s="33" t="s">
        <v>34</v>
      </c>
    </row>
    <row r="9" spans="1:8" s="10" customFormat="1" ht="4.1500000000000004" customHeight="1" x14ac:dyDescent="0.25">
      <c r="A9" s="11"/>
      <c r="B9" s="17"/>
      <c r="C9" s="17"/>
      <c r="D9" s="17"/>
      <c r="E9" s="21"/>
      <c r="F9" s="17"/>
      <c r="G9" s="17"/>
      <c r="H9" s="17"/>
    </row>
    <row r="10" spans="1:8" s="10" customFormat="1" ht="4.1500000000000004" customHeight="1" x14ac:dyDescent="0.25">
      <c r="A10" s="11"/>
      <c r="B10" s="14"/>
      <c r="C10" s="14"/>
      <c r="D10" s="14"/>
      <c r="E10" s="21"/>
      <c r="F10" s="14"/>
      <c r="G10" s="14"/>
      <c r="H10" s="14"/>
    </row>
    <row r="11" spans="1:8" s="10" customFormat="1" ht="12.25" customHeight="1" x14ac:dyDescent="0.25">
      <c r="A11" s="8"/>
      <c r="B11" s="34" t="s">
        <v>39</v>
      </c>
      <c r="C11" s="34" t="s">
        <v>40</v>
      </c>
      <c r="D11" s="34" t="s">
        <v>18</v>
      </c>
      <c r="E11" s="21"/>
      <c r="F11" s="34" t="s">
        <v>39</v>
      </c>
      <c r="G11" s="34" t="s">
        <v>40</v>
      </c>
      <c r="H11" s="34" t="s">
        <v>18</v>
      </c>
    </row>
    <row r="12" spans="1:8" s="14" customFormat="1" ht="4.1500000000000004" customHeight="1" x14ac:dyDescent="0.25">
      <c r="A12" s="18"/>
      <c r="B12" s="17"/>
      <c r="C12" s="17"/>
      <c r="D12" s="17"/>
      <c r="E12" s="18"/>
      <c r="F12" s="17"/>
      <c r="G12" s="17"/>
      <c r="H12" s="17"/>
    </row>
    <row r="13" spans="1:8" s="14" customFormat="1" ht="4.1500000000000004" customHeight="1" x14ac:dyDescent="0.25">
      <c r="A13" s="15"/>
      <c r="E13" s="15"/>
    </row>
    <row r="14" spans="1:8" s="4" customFormat="1" ht="18" customHeight="1" x14ac:dyDescent="0.25">
      <c r="A14" s="25" t="s">
        <v>46</v>
      </c>
      <c r="B14" s="4">
        <v>11</v>
      </c>
      <c r="C14" s="4">
        <v>12</v>
      </c>
      <c r="D14" s="4">
        <v>23</v>
      </c>
      <c r="E14" s="40"/>
      <c r="F14" s="37">
        <f>B14/$D14*100</f>
        <v>47.826086956521742</v>
      </c>
      <c r="G14" s="37">
        <f t="shared" ref="G14:H14" si="0">C14/$D14*100</f>
        <v>52.173913043478258</v>
      </c>
      <c r="H14" s="37">
        <f t="shared" si="0"/>
        <v>100</v>
      </c>
    </row>
    <row r="15" spans="1:8" s="3" customFormat="1" ht="12.25" customHeight="1" x14ac:dyDescent="0.25">
      <c r="A15" s="7" t="s">
        <v>0</v>
      </c>
      <c r="B15" s="4">
        <v>149</v>
      </c>
      <c r="C15" s="4">
        <v>185</v>
      </c>
      <c r="D15" s="4">
        <v>334</v>
      </c>
      <c r="E15" s="40"/>
      <c r="F15" s="37">
        <f t="shared" ref="F15:F61" si="1">B15/$D15*100</f>
        <v>44.610778443113773</v>
      </c>
      <c r="G15" s="37">
        <f t="shared" ref="G15:G61" si="2">C15/$D15*100</f>
        <v>55.389221556886227</v>
      </c>
      <c r="H15" s="37">
        <f t="shared" ref="H15:H61" si="3">D15/$D15*100</f>
        <v>100</v>
      </c>
    </row>
    <row r="16" spans="1:8" s="3" customFormat="1" ht="12.25" customHeight="1" x14ac:dyDescent="0.25">
      <c r="A16" s="1" t="s">
        <v>11</v>
      </c>
      <c r="B16" s="4">
        <v>5</v>
      </c>
      <c r="C16" s="4">
        <v>9</v>
      </c>
      <c r="D16" s="4">
        <v>14</v>
      </c>
      <c r="E16" s="40"/>
      <c r="F16" s="37">
        <f t="shared" si="1"/>
        <v>35.714285714285715</v>
      </c>
      <c r="G16" s="37">
        <f t="shared" si="2"/>
        <v>64.285714285714292</v>
      </c>
      <c r="H16" s="37">
        <f t="shared" si="3"/>
        <v>100</v>
      </c>
    </row>
    <row r="17" spans="1:8" s="3" customFormat="1" ht="12.25" customHeight="1" x14ac:dyDescent="0.25">
      <c r="A17" s="1" t="s">
        <v>13</v>
      </c>
      <c r="B17" s="4">
        <v>29</v>
      </c>
      <c r="C17" s="4">
        <v>92</v>
      </c>
      <c r="D17" s="4">
        <v>121</v>
      </c>
      <c r="E17" s="40"/>
      <c r="F17" s="37">
        <f t="shared" si="1"/>
        <v>23.966942148760332</v>
      </c>
      <c r="G17" s="37">
        <f t="shared" si="2"/>
        <v>76.033057851239676</v>
      </c>
      <c r="H17" s="37">
        <f t="shared" si="3"/>
        <v>100</v>
      </c>
    </row>
    <row r="18" spans="1:8" s="3" customFormat="1" ht="12.25" customHeight="1" x14ac:dyDescent="0.25">
      <c r="A18" s="1" t="s">
        <v>1</v>
      </c>
      <c r="B18" s="4">
        <v>37</v>
      </c>
      <c r="C18" s="4">
        <v>155</v>
      </c>
      <c r="D18" s="4">
        <v>192</v>
      </c>
      <c r="E18" s="40"/>
      <c r="F18" s="37">
        <f t="shared" si="1"/>
        <v>19.270833333333336</v>
      </c>
      <c r="G18" s="37">
        <f t="shared" si="2"/>
        <v>80.729166666666657</v>
      </c>
      <c r="H18" s="37">
        <f t="shared" si="3"/>
        <v>100</v>
      </c>
    </row>
    <row r="19" spans="1:8" s="3" customFormat="1" ht="18" customHeight="1" x14ac:dyDescent="0.25">
      <c r="A19" s="32" t="s">
        <v>22</v>
      </c>
      <c r="B19" s="4">
        <v>3</v>
      </c>
      <c r="C19" s="4">
        <v>21</v>
      </c>
      <c r="D19" s="4">
        <v>24</v>
      </c>
      <c r="E19" s="40"/>
      <c r="F19" s="37">
        <f t="shared" si="1"/>
        <v>12.5</v>
      </c>
      <c r="G19" s="37">
        <f t="shared" si="2"/>
        <v>87.5</v>
      </c>
      <c r="H19" s="37">
        <f t="shared" si="3"/>
        <v>100</v>
      </c>
    </row>
    <row r="20" spans="1:8" s="3" customFormat="1" ht="12.25" customHeight="1" x14ac:dyDescent="0.25">
      <c r="A20" s="7" t="s">
        <v>32</v>
      </c>
      <c r="B20" s="4">
        <v>6</v>
      </c>
      <c r="C20" s="4">
        <v>14</v>
      </c>
      <c r="D20" s="4">
        <v>20</v>
      </c>
      <c r="E20" s="40"/>
      <c r="F20" s="37">
        <f t="shared" si="1"/>
        <v>30</v>
      </c>
      <c r="G20" s="37">
        <f t="shared" si="2"/>
        <v>70</v>
      </c>
      <c r="H20" s="37">
        <f t="shared" si="3"/>
        <v>100</v>
      </c>
    </row>
    <row r="21" spans="1:8" s="3" customFormat="1" ht="12.25" customHeight="1" x14ac:dyDescent="0.25">
      <c r="A21" s="23" t="s">
        <v>35</v>
      </c>
      <c r="B21" s="4">
        <v>2</v>
      </c>
      <c r="C21" s="4">
        <v>13</v>
      </c>
      <c r="D21" s="4">
        <v>15</v>
      </c>
      <c r="E21" s="40"/>
      <c r="F21" s="37">
        <f t="shared" si="1"/>
        <v>13.333333333333334</v>
      </c>
      <c r="G21" s="37">
        <f t="shared" si="2"/>
        <v>86.666666666666671</v>
      </c>
      <c r="H21" s="37">
        <f t="shared" si="3"/>
        <v>100</v>
      </c>
    </row>
    <row r="22" spans="1:8" s="3" customFormat="1" ht="12.25" customHeight="1" x14ac:dyDescent="0.25">
      <c r="A22" s="39" t="s">
        <v>47</v>
      </c>
      <c r="B22" s="4">
        <v>35</v>
      </c>
      <c r="C22" s="4">
        <v>160</v>
      </c>
      <c r="D22" s="4">
        <v>195</v>
      </c>
      <c r="E22" s="41"/>
      <c r="F22" s="37">
        <f t="shared" si="1"/>
        <v>17.948717948717949</v>
      </c>
      <c r="G22" s="37">
        <f t="shared" si="2"/>
        <v>82.051282051282044</v>
      </c>
      <c r="H22" s="37">
        <f t="shared" si="3"/>
        <v>100</v>
      </c>
    </row>
    <row r="23" spans="1:8" s="3" customFormat="1" ht="12.25" customHeight="1" x14ac:dyDescent="0.25">
      <c r="A23" s="23" t="s">
        <v>48</v>
      </c>
      <c r="B23" s="4">
        <v>29</v>
      </c>
      <c r="C23" s="4">
        <v>68</v>
      </c>
      <c r="D23" s="4">
        <v>97</v>
      </c>
      <c r="E23" s="40"/>
      <c r="F23" s="37">
        <f t="shared" si="1"/>
        <v>29.896907216494846</v>
      </c>
      <c r="G23" s="37">
        <f t="shared" si="2"/>
        <v>70.103092783505147</v>
      </c>
      <c r="H23" s="37">
        <f t="shared" si="3"/>
        <v>100</v>
      </c>
    </row>
    <row r="24" spans="1:8" s="3" customFormat="1" ht="18" customHeight="1" x14ac:dyDescent="0.25">
      <c r="A24" s="39" t="s">
        <v>14</v>
      </c>
      <c r="B24" s="4">
        <v>17</v>
      </c>
      <c r="C24" s="4">
        <v>19</v>
      </c>
      <c r="D24" s="4">
        <v>36</v>
      </c>
      <c r="E24" s="41"/>
      <c r="F24" s="37">
        <f t="shared" si="1"/>
        <v>47.222222222222221</v>
      </c>
      <c r="G24" s="37">
        <f t="shared" si="2"/>
        <v>52.777777777777779</v>
      </c>
      <c r="H24" s="37">
        <f t="shared" si="3"/>
        <v>100</v>
      </c>
    </row>
    <row r="25" spans="1:8" s="3" customFormat="1" ht="12.25" customHeight="1" x14ac:dyDescent="0.25">
      <c r="A25" s="36" t="s">
        <v>37</v>
      </c>
      <c r="B25" s="4">
        <v>1</v>
      </c>
      <c r="C25" s="4">
        <v>3</v>
      </c>
      <c r="D25" s="4">
        <v>4</v>
      </c>
      <c r="E25" s="40"/>
      <c r="F25" s="37">
        <f t="shared" si="1"/>
        <v>25</v>
      </c>
      <c r="G25" s="37">
        <f t="shared" si="2"/>
        <v>75</v>
      </c>
      <c r="H25" s="37">
        <f t="shared" si="3"/>
        <v>100</v>
      </c>
    </row>
    <row r="26" spans="1:8" s="3" customFormat="1" ht="12.25" customHeight="1" x14ac:dyDescent="0.25">
      <c r="A26" s="36" t="s">
        <v>38</v>
      </c>
      <c r="B26" s="4">
        <v>2</v>
      </c>
      <c r="C26" s="4">
        <v>7</v>
      </c>
      <c r="D26" s="4">
        <v>9</v>
      </c>
      <c r="E26" s="40"/>
      <c r="F26" s="37">
        <f t="shared" si="1"/>
        <v>22.222222222222221</v>
      </c>
      <c r="G26" s="37">
        <f t="shared" si="2"/>
        <v>77.777777777777786</v>
      </c>
      <c r="H26" s="37">
        <f t="shared" si="3"/>
        <v>100</v>
      </c>
    </row>
    <row r="27" spans="1:8" s="3" customFormat="1" ht="12.25" customHeight="1" x14ac:dyDescent="0.25">
      <c r="A27" s="7" t="s">
        <v>29</v>
      </c>
      <c r="B27" s="4">
        <v>76</v>
      </c>
      <c r="C27" s="4">
        <v>60</v>
      </c>
      <c r="D27" s="4">
        <v>136</v>
      </c>
      <c r="E27" s="40"/>
      <c r="F27" s="37">
        <f t="shared" si="1"/>
        <v>55.882352941176471</v>
      </c>
      <c r="G27" s="37">
        <f t="shared" si="2"/>
        <v>44.117647058823529</v>
      </c>
      <c r="H27" s="37">
        <f t="shared" si="3"/>
        <v>100</v>
      </c>
    </row>
    <row r="28" spans="1:8" s="3" customFormat="1" ht="12.25" customHeight="1" x14ac:dyDescent="0.25">
      <c r="A28" s="1" t="s">
        <v>49</v>
      </c>
      <c r="B28" s="4">
        <v>22</v>
      </c>
      <c r="C28" s="4">
        <v>15</v>
      </c>
      <c r="D28" s="4">
        <v>37</v>
      </c>
      <c r="E28" s="40"/>
      <c r="F28" s="37">
        <f t="shared" si="1"/>
        <v>59.45945945945946</v>
      </c>
      <c r="G28" s="37">
        <f t="shared" si="2"/>
        <v>40.54054054054054</v>
      </c>
      <c r="H28" s="37">
        <f t="shared" si="3"/>
        <v>100</v>
      </c>
    </row>
    <row r="29" spans="1:8" s="3" customFormat="1" ht="18" customHeight="1" x14ac:dyDescent="0.25">
      <c r="A29" s="1" t="s">
        <v>20</v>
      </c>
      <c r="B29" s="4">
        <v>14</v>
      </c>
      <c r="C29" s="4">
        <v>39</v>
      </c>
      <c r="D29" s="4">
        <v>53</v>
      </c>
      <c r="E29" s="40"/>
      <c r="F29" s="37">
        <f t="shared" si="1"/>
        <v>26.415094339622641</v>
      </c>
      <c r="G29" s="37">
        <f t="shared" si="2"/>
        <v>73.584905660377359</v>
      </c>
      <c r="H29" s="37">
        <f t="shared" si="3"/>
        <v>100</v>
      </c>
    </row>
    <row r="30" spans="1:8" s="3" customFormat="1" ht="12.25" customHeight="1" x14ac:dyDescent="0.25">
      <c r="A30" s="1" t="s">
        <v>2</v>
      </c>
      <c r="B30" s="4">
        <v>198</v>
      </c>
      <c r="C30" s="4">
        <v>114</v>
      </c>
      <c r="D30" s="4">
        <v>312</v>
      </c>
      <c r="E30" s="42"/>
      <c r="F30" s="37">
        <f t="shared" si="1"/>
        <v>63.46153846153846</v>
      </c>
      <c r="G30" s="37">
        <f t="shared" si="2"/>
        <v>36.538461538461533</v>
      </c>
      <c r="H30" s="37">
        <f t="shared" si="3"/>
        <v>100</v>
      </c>
    </row>
    <row r="31" spans="1:8" s="3" customFormat="1" ht="12.25" customHeight="1" x14ac:dyDescent="0.25">
      <c r="A31" s="1" t="s">
        <v>25</v>
      </c>
      <c r="B31" s="4">
        <v>14</v>
      </c>
      <c r="C31" s="4">
        <v>7</v>
      </c>
      <c r="D31" s="4">
        <v>21</v>
      </c>
      <c r="E31" s="40"/>
      <c r="F31" s="37">
        <f t="shared" si="1"/>
        <v>66.666666666666657</v>
      </c>
      <c r="G31" s="37">
        <f t="shared" si="2"/>
        <v>33.333333333333329</v>
      </c>
      <c r="H31" s="37">
        <f t="shared" si="3"/>
        <v>100</v>
      </c>
    </row>
    <row r="32" spans="1:8" s="3" customFormat="1" ht="12.25" customHeight="1" x14ac:dyDescent="0.25">
      <c r="A32" s="1" t="s">
        <v>21</v>
      </c>
      <c r="B32" s="4">
        <v>21</v>
      </c>
      <c r="C32" s="4">
        <v>18</v>
      </c>
      <c r="D32" s="4">
        <v>39</v>
      </c>
      <c r="E32" s="40"/>
      <c r="F32" s="37">
        <f t="shared" si="1"/>
        <v>53.846153846153847</v>
      </c>
      <c r="G32" s="37">
        <f t="shared" si="2"/>
        <v>46.153846153846153</v>
      </c>
      <c r="H32" s="37">
        <f t="shared" si="3"/>
        <v>100</v>
      </c>
    </row>
    <row r="33" spans="1:8" s="3" customFormat="1" ht="12.25" customHeight="1" x14ac:dyDescent="0.25">
      <c r="A33" s="1" t="s">
        <v>24</v>
      </c>
      <c r="B33" s="4">
        <v>14</v>
      </c>
      <c r="C33" s="4">
        <v>16</v>
      </c>
      <c r="D33" s="4">
        <v>30</v>
      </c>
      <c r="E33" s="40"/>
      <c r="F33" s="37">
        <f t="shared" si="1"/>
        <v>46.666666666666664</v>
      </c>
      <c r="G33" s="37">
        <f t="shared" si="2"/>
        <v>53.333333333333336</v>
      </c>
      <c r="H33" s="37">
        <f t="shared" si="3"/>
        <v>100</v>
      </c>
    </row>
    <row r="34" spans="1:8" s="3" customFormat="1" ht="18" customHeight="1" x14ac:dyDescent="0.25">
      <c r="A34" s="22" t="s">
        <v>58</v>
      </c>
      <c r="B34" s="4">
        <v>272</v>
      </c>
      <c r="C34" s="4">
        <v>377</v>
      </c>
      <c r="D34" s="4">
        <v>649</v>
      </c>
      <c r="E34" s="41"/>
      <c r="F34" s="37">
        <f t="shared" si="1"/>
        <v>41.910631741140215</v>
      </c>
      <c r="G34" s="37">
        <f t="shared" si="2"/>
        <v>58.089368258859785</v>
      </c>
      <c r="H34" s="37">
        <f t="shared" si="3"/>
        <v>100</v>
      </c>
    </row>
    <row r="35" spans="1:8" s="3" customFormat="1" ht="12.25" customHeight="1" x14ac:dyDescent="0.25">
      <c r="A35" s="23" t="s">
        <v>12</v>
      </c>
      <c r="B35" s="4">
        <v>18</v>
      </c>
      <c r="C35" s="4">
        <v>16</v>
      </c>
      <c r="D35" s="4">
        <v>34</v>
      </c>
      <c r="E35" s="40"/>
      <c r="F35" s="37">
        <f t="shared" si="1"/>
        <v>52.941176470588239</v>
      </c>
      <c r="G35" s="37">
        <f t="shared" si="2"/>
        <v>47.058823529411761</v>
      </c>
      <c r="H35" s="37">
        <f t="shared" si="3"/>
        <v>100</v>
      </c>
    </row>
    <row r="36" spans="1:8" s="3" customFormat="1" ht="12.25" customHeight="1" x14ac:dyDescent="0.25">
      <c r="A36" s="1" t="s">
        <v>23</v>
      </c>
      <c r="B36" s="4">
        <v>15</v>
      </c>
      <c r="C36" s="4">
        <v>29</v>
      </c>
      <c r="D36" s="4">
        <v>44</v>
      </c>
      <c r="E36" s="40"/>
      <c r="F36" s="37">
        <f t="shared" si="1"/>
        <v>34.090909090909086</v>
      </c>
      <c r="G36" s="37">
        <f t="shared" si="2"/>
        <v>65.909090909090907</v>
      </c>
      <c r="H36" s="37">
        <f t="shared" si="3"/>
        <v>100</v>
      </c>
    </row>
    <row r="37" spans="1:8" s="3" customFormat="1" ht="12.25" customHeight="1" x14ac:dyDescent="0.25">
      <c r="A37" s="1" t="s">
        <v>43</v>
      </c>
      <c r="B37" s="4">
        <v>627</v>
      </c>
      <c r="C37" s="4">
        <v>651</v>
      </c>
      <c r="D37" s="4">
        <v>1278</v>
      </c>
      <c r="E37" s="43"/>
      <c r="F37" s="37">
        <f t="shared" si="1"/>
        <v>49.061032863849761</v>
      </c>
      <c r="G37" s="37">
        <f t="shared" si="2"/>
        <v>50.938967136150239</v>
      </c>
      <c r="H37" s="37">
        <f t="shared" si="3"/>
        <v>100</v>
      </c>
    </row>
    <row r="38" spans="1:8" s="3" customFormat="1" ht="12.25" customHeight="1" x14ac:dyDescent="0.25">
      <c r="A38" s="23" t="s">
        <v>9</v>
      </c>
      <c r="B38" s="4">
        <v>12</v>
      </c>
      <c r="C38" s="4">
        <v>4</v>
      </c>
      <c r="D38" s="4">
        <v>16</v>
      </c>
      <c r="E38" s="40"/>
      <c r="F38" s="37">
        <f t="shared" si="1"/>
        <v>75</v>
      </c>
      <c r="G38" s="37">
        <f t="shared" si="2"/>
        <v>25</v>
      </c>
      <c r="H38" s="37">
        <f t="shared" si="3"/>
        <v>100</v>
      </c>
    </row>
    <row r="39" spans="1:8" s="3" customFormat="1" ht="18" customHeight="1" x14ac:dyDescent="0.25">
      <c r="A39" s="39" t="s">
        <v>17</v>
      </c>
      <c r="B39" s="35">
        <v>11</v>
      </c>
      <c r="C39" s="4">
        <v>26</v>
      </c>
      <c r="D39" s="4">
        <v>37</v>
      </c>
      <c r="E39" s="41"/>
      <c r="F39" s="37">
        <f t="shared" si="1"/>
        <v>29.72972972972973</v>
      </c>
      <c r="G39" s="37">
        <f t="shared" si="2"/>
        <v>70.270270270270274</v>
      </c>
      <c r="H39" s="37">
        <f t="shared" si="3"/>
        <v>100</v>
      </c>
    </row>
    <row r="40" spans="1:8" s="3" customFormat="1" ht="12.25" customHeight="1" x14ac:dyDescent="0.25">
      <c r="A40" s="23" t="s">
        <v>50</v>
      </c>
      <c r="B40" s="4">
        <v>1</v>
      </c>
      <c r="C40" s="35" t="s">
        <v>56</v>
      </c>
      <c r="D40" s="4">
        <v>1</v>
      </c>
      <c r="E40" s="43"/>
      <c r="F40" s="37">
        <f t="shared" si="1"/>
        <v>100</v>
      </c>
      <c r="G40" s="45" t="s">
        <v>56</v>
      </c>
      <c r="H40" s="37">
        <f t="shared" si="3"/>
        <v>100</v>
      </c>
    </row>
    <row r="41" spans="1:8" s="3" customFormat="1" ht="12.25" customHeight="1" x14ac:dyDescent="0.25">
      <c r="A41" s="39" t="s">
        <v>19</v>
      </c>
      <c r="B41" s="35">
        <v>14</v>
      </c>
      <c r="C41" s="4">
        <v>33</v>
      </c>
      <c r="D41" s="4">
        <v>47</v>
      </c>
      <c r="E41" s="41"/>
      <c r="F41" s="37">
        <f t="shared" si="1"/>
        <v>29.787234042553191</v>
      </c>
      <c r="G41" s="37">
        <f t="shared" si="2"/>
        <v>70.212765957446805</v>
      </c>
      <c r="H41" s="37">
        <f t="shared" si="3"/>
        <v>100</v>
      </c>
    </row>
    <row r="42" spans="1:8" s="3" customFormat="1" ht="12.25" customHeight="1" x14ac:dyDescent="0.25">
      <c r="A42" s="23" t="s">
        <v>51</v>
      </c>
      <c r="B42" s="4">
        <v>2</v>
      </c>
      <c r="C42" s="4">
        <v>2</v>
      </c>
      <c r="D42" s="4">
        <v>4</v>
      </c>
      <c r="E42" s="40"/>
      <c r="F42" s="37">
        <f t="shared" si="1"/>
        <v>50</v>
      </c>
      <c r="G42" s="37">
        <f t="shared" si="2"/>
        <v>50</v>
      </c>
      <c r="H42" s="37">
        <f t="shared" si="3"/>
        <v>100</v>
      </c>
    </row>
    <row r="43" spans="1:8" s="3" customFormat="1" ht="12.25" customHeight="1" x14ac:dyDescent="0.25">
      <c r="A43" s="23" t="s">
        <v>3</v>
      </c>
      <c r="B43" s="4">
        <v>6</v>
      </c>
      <c r="C43" s="35">
        <v>51</v>
      </c>
      <c r="D43" s="4">
        <v>57</v>
      </c>
      <c r="E43" s="43"/>
      <c r="F43" s="37">
        <f t="shared" si="1"/>
        <v>10.526315789473683</v>
      </c>
      <c r="G43" s="37">
        <f t="shared" si="2"/>
        <v>89.473684210526315</v>
      </c>
      <c r="H43" s="37">
        <f t="shared" si="3"/>
        <v>100</v>
      </c>
    </row>
    <row r="44" spans="1:8" s="3" customFormat="1" ht="18" customHeight="1" x14ac:dyDescent="0.25">
      <c r="A44" s="23" t="s">
        <v>4</v>
      </c>
      <c r="B44" s="4">
        <v>60</v>
      </c>
      <c r="C44" s="4">
        <v>70</v>
      </c>
      <c r="D44" s="4">
        <v>130</v>
      </c>
      <c r="E44" s="40"/>
      <c r="F44" s="37">
        <f t="shared" si="1"/>
        <v>46.153846153846153</v>
      </c>
      <c r="G44" s="37">
        <f t="shared" si="2"/>
        <v>53.846153846153847</v>
      </c>
      <c r="H44" s="37">
        <f t="shared" si="3"/>
        <v>100</v>
      </c>
    </row>
    <row r="45" spans="1:8" s="3" customFormat="1" ht="12.25" customHeight="1" x14ac:dyDescent="0.25">
      <c r="A45" s="23" t="s">
        <v>16</v>
      </c>
      <c r="B45" s="35">
        <v>13</v>
      </c>
      <c r="C45" s="35">
        <v>13</v>
      </c>
      <c r="D45" s="35">
        <v>26</v>
      </c>
      <c r="E45" s="40"/>
      <c r="F45" s="37">
        <f t="shared" si="1"/>
        <v>50</v>
      </c>
      <c r="G45" s="37">
        <f t="shared" si="2"/>
        <v>50</v>
      </c>
      <c r="H45" s="37">
        <f t="shared" si="3"/>
        <v>100</v>
      </c>
    </row>
    <row r="46" spans="1:8" s="3" customFormat="1" ht="12.25" customHeight="1" x14ac:dyDescent="0.25">
      <c r="A46" s="1" t="s">
        <v>15</v>
      </c>
      <c r="B46" s="4">
        <v>16</v>
      </c>
      <c r="C46" s="4">
        <v>24</v>
      </c>
      <c r="D46" s="4">
        <v>40</v>
      </c>
      <c r="E46" s="40"/>
      <c r="F46" s="37">
        <f t="shared" si="1"/>
        <v>40</v>
      </c>
      <c r="G46" s="37">
        <f t="shared" si="2"/>
        <v>60</v>
      </c>
      <c r="H46" s="37">
        <f t="shared" si="3"/>
        <v>100</v>
      </c>
    </row>
    <row r="47" spans="1:8" s="3" customFormat="1" ht="12.25" customHeight="1" x14ac:dyDescent="0.25">
      <c r="A47" s="1" t="s">
        <v>5</v>
      </c>
      <c r="B47" s="4">
        <v>89</v>
      </c>
      <c r="C47" s="4">
        <v>136</v>
      </c>
      <c r="D47" s="4">
        <v>225</v>
      </c>
      <c r="E47" s="43"/>
      <c r="F47" s="37">
        <f t="shared" si="1"/>
        <v>39.555555555555557</v>
      </c>
      <c r="G47" s="37">
        <f t="shared" si="2"/>
        <v>60.444444444444443</v>
      </c>
      <c r="H47" s="37">
        <f t="shared" si="3"/>
        <v>100</v>
      </c>
    </row>
    <row r="48" spans="1:8" s="3" customFormat="1" ht="12.25" customHeight="1" x14ac:dyDescent="0.25">
      <c r="A48" s="22" t="s">
        <v>30</v>
      </c>
      <c r="B48" s="4">
        <v>22</v>
      </c>
      <c r="C48" s="4">
        <v>74</v>
      </c>
      <c r="D48" s="4">
        <v>96</v>
      </c>
      <c r="E48" s="41"/>
      <c r="F48" s="37">
        <f t="shared" si="1"/>
        <v>22.916666666666664</v>
      </c>
      <c r="G48" s="37">
        <f t="shared" si="2"/>
        <v>77.083333333333343</v>
      </c>
      <c r="H48" s="37">
        <f t="shared" si="3"/>
        <v>100</v>
      </c>
    </row>
    <row r="49" spans="1:12" s="3" customFormat="1" ht="18" customHeight="1" x14ac:dyDescent="0.25">
      <c r="A49" s="22" t="s">
        <v>7</v>
      </c>
      <c r="B49" s="4">
        <v>36</v>
      </c>
      <c r="C49" s="4">
        <v>22</v>
      </c>
      <c r="D49" s="4">
        <v>58</v>
      </c>
      <c r="E49" s="41"/>
      <c r="F49" s="37">
        <f t="shared" si="1"/>
        <v>62.068965517241381</v>
      </c>
      <c r="G49" s="37">
        <f t="shared" si="2"/>
        <v>37.931034482758619</v>
      </c>
      <c r="H49" s="37">
        <f t="shared" si="3"/>
        <v>100</v>
      </c>
    </row>
    <row r="50" spans="1:12" s="3" customFormat="1" ht="12.25" customHeight="1" x14ac:dyDescent="0.25">
      <c r="A50" s="22" t="s">
        <v>52</v>
      </c>
      <c r="B50" s="4">
        <v>8</v>
      </c>
      <c r="C50" s="4">
        <v>4</v>
      </c>
      <c r="D50" s="4">
        <v>12</v>
      </c>
      <c r="E50" s="41"/>
      <c r="F50" s="37">
        <f t="shared" si="1"/>
        <v>66.666666666666657</v>
      </c>
      <c r="G50" s="37">
        <f t="shared" si="2"/>
        <v>33.333333333333329</v>
      </c>
      <c r="H50" s="37">
        <f t="shared" si="3"/>
        <v>100</v>
      </c>
    </row>
    <row r="51" spans="1:12" s="3" customFormat="1" ht="12.25" customHeight="1" x14ac:dyDescent="0.25">
      <c r="A51" s="1" t="s">
        <v>26</v>
      </c>
      <c r="B51" s="4">
        <v>22</v>
      </c>
      <c r="C51" s="4">
        <v>24</v>
      </c>
      <c r="D51" s="4">
        <v>46</v>
      </c>
      <c r="E51" s="40"/>
      <c r="F51" s="37">
        <f t="shared" si="1"/>
        <v>47.826086956521742</v>
      </c>
      <c r="G51" s="37">
        <f t="shared" si="2"/>
        <v>52.173913043478258</v>
      </c>
      <c r="H51" s="37">
        <f t="shared" si="3"/>
        <v>100</v>
      </c>
    </row>
    <row r="52" spans="1:12" s="3" customFormat="1" ht="12.25" customHeight="1" x14ac:dyDescent="0.25">
      <c r="A52" s="22" t="s">
        <v>10</v>
      </c>
      <c r="B52" s="4">
        <v>15</v>
      </c>
      <c r="C52" s="4">
        <v>7</v>
      </c>
      <c r="D52" s="4">
        <v>22</v>
      </c>
      <c r="E52" s="41"/>
      <c r="F52" s="37">
        <f t="shared" si="1"/>
        <v>68.181818181818173</v>
      </c>
      <c r="G52" s="37">
        <f t="shared" si="2"/>
        <v>31.818181818181817</v>
      </c>
      <c r="H52" s="37">
        <f t="shared" si="3"/>
        <v>100</v>
      </c>
    </row>
    <row r="53" spans="1:12" s="3" customFormat="1" ht="12.25" customHeight="1" x14ac:dyDescent="0.25">
      <c r="A53" s="22" t="s">
        <v>53</v>
      </c>
      <c r="B53" s="4">
        <v>368</v>
      </c>
      <c r="C53" s="4">
        <v>348</v>
      </c>
      <c r="D53" s="4">
        <v>716</v>
      </c>
      <c r="E53" s="41"/>
      <c r="F53" s="37">
        <f t="shared" si="1"/>
        <v>51.396648044692739</v>
      </c>
      <c r="G53" s="37">
        <f t="shared" si="2"/>
        <v>48.603351955307261</v>
      </c>
      <c r="H53" s="37">
        <f t="shared" si="3"/>
        <v>100</v>
      </c>
    </row>
    <row r="54" spans="1:12" s="3" customFormat="1" ht="18" customHeight="1" x14ac:dyDescent="0.25">
      <c r="A54" s="23" t="s">
        <v>54</v>
      </c>
      <c r="B54" s="4">
        <v>113</v>
      </c>
      <c r="C54" s="4">
        <v>38</v>
      </c>
      <c r="D54" s="4">
        <v>151</v>
      </c>
      <c r="E54" s="40"/>
      <c r="F54" s="37">
        <f t="shared" si="1"/>
        <v>74.83443708609272</v>
      </c>
      <c r="G54" s="37">
        <f t="shared" si="2"/>
        <v>25.165562913907287</v>
      </c>
      <c r="H54" s="37">
        <f t="shared" si="3"/>
        <v>100</v>
      </c>
    </row>
    <row r="55" spans="1:12" s="3" customFormat="1" ht="12.25" customHeight="1" x14ac:dyDescent="0.25">
      <c r="A55" s="39" t="s">
        <v>6</v>
      </c>
      <c r="B55" s="4">
        <v>357</v>
      </c>
      <c r="C55" s="4">
        <v>130</v>
      </c>
      <c r="D55" s="4">
        <v>487</v>
      </c>
      <c r="E55" s="41"/>
      <c r="F55" s="37">
        <f t="shared" si="1"/>
        <v>73.30595482546201</v>
      </c>
      <c r="G55" s="37">
        <f t="shared" si="2"/>
        <v>26.69404517453799</v>
      </c>
      <c r="H55" s="37">
        <f t="shared" si="3"/>
        <v>100</v>
      </c>
    </row>
    <row r="56" spans="1:12" s="3" customFormat="1" ht="12.25" customHeight="1" x14ac:dyDescent="0.25">
      <c r="A56" s="22" t="s">
        <v>55</v>
      </c>
      <c r="B56" s="4">
        <v>14</v>
      </c>
      <c r="C56" s="4">
        <v>24</v>
      </c>
      <c r="D56" s="4">
        <v>38</v>
      </c>
      <c r="E56" s="41"/>
      <c r="F56" s="37">
        <f t="shared" si="1"/>
        <v>36.84210526315789</v>
      </c>
      <c r="G56" s="37">
        <f t="shared" si="2"/>
        <v>63.157894736842103</v>
      </c>
      <c r="H56" s="37">
        <f t="shared" si="3"/>
        <v>100</v>
      </c>
    </row>
    <row r="57" spans="1:12" s="3" customFormat="1" ht="12.25" customHeight="1" x14ac:dyDescent="0.25">
      <c r="A57" s="22" t="s">
        <v>27</v>
      </c>
      <c r="B57" s="4">
        <v>131</v>
      </c>
      <c r="C57" s="4">
        <v>213</v>
      </c>
      <c r="D57" s="4">
        <v>344</v>
      </c>
      <c r="E57" s="41"/>
      <c r="F57" s="37">
        <f t="shared" si="1"/>
        <v>38.081395348837212</v>
      </c>
      <c r="G57" s="37">
        <f t="shared" si="2"/>
        <v>61.918604651162788</v>
      </c>
      <c r="H57" s="37">
        <f t="shared" si="3"/>
        <v>100</v>
      </c>
    </row>
    <row r="58" spans="1:12" s="3" customFormat="1" ht="12.25" customHeight="1" x14ac:dyDescent="0.25">
      <c r="A58" s="22" t="s">
        <v>28</v>
      </c>
      <c r="B58" s="4">
        <v>23</v>
      </c>
      <c r="C58" s="4">
        <v>28</v>
      </c>
      <c r="D58" s="4">
        <v>51</v>
      </c>
      <c r="E58" s="41"/>
      <c r="F58" s="37">
        <f t="shared" si="1"/>
        <v>45.098039215686278</v>
      </c>
      <c r="G58" s="37">
        <f t="shared" si="2"/>
        <v>54.901960784313729</v>
      </c>
      <c r="H58" s="37">
        <f t="shared" si="3"/>
        <v>100</v>
      </c>
    </row>
    <row r="59" spans="1:12" s="3" customFormat="1" ht="18" customHeight="1" x14ac:dyDescent="0.25">
      <c r="A59" s="22" t="s">
        <v>8</v>
      </c>
      <c r="B59" s="4">
        <v>8</v>
      </c>
      <c r="C59" s="4">
        <v>60</v>
      </c>
      <c r="D59" s="4">
        <v>68</v>
      </c>
      <c r="E59" s="41"/>
      <c r="F59" s="37">
        <f t="shared" si="1"/>
        <v>11.76470588235294</v>
      </c>
      <c r="G59" s="37">
        <f t="shared" si="2"/>
        <v>88.235294117647058</v>
      </c>
      <c r="H59" s="37">
        <f t="shared" si="3"/>
        <v>100</v>
      </c>
    </row>
    <row r="60" spans="1:12" s="3" customFormat="1" ht="12.25" customHeight="1" x14ac:dyDescent="0.25">
      <c r="A60" s="39" t="s">
        <v>59</v>
      </c>
      <c r="B60" s="4">
        <v>10</v>
      </c>
      <c r="C60" s="4">
        <v>22</v>
      </c>
      <c r="D60" s="4">
        <v>32</v>
      </c>
      <c r="E60" s="41"/>
      <c r="F60" s="37">
        <f t="shared" si="1"/>
        <v>31.25</v>
      </c>
      <c r="G60" s="37">
        <f t="shared" si="2"/>
        <v>68.75</v>
      </c>
      <c r="H60" s="37">
        <f t="shared" si="3"/>
        <v>100</v>
      </c>
    </row>
    <row r="61" spans="1:12" s="3" customFormat="1" ht="20.25" customHeight="1" x14ac:dyDescent="0.25">
      <c r="A61" s="24" t="s">
        <v>18</v>
      </c>
      <c r="B61" s="5">
        <f>SUM(B14:B60)</f>
        <v>2968</v>
      </c>
      <c r="C61" s="5">
        <f t="shared" ref="C61:D61" si="4">SUM(C14:C60)</f>
        <v>3453</v>
      </c>
      <c r="D61" s="5">
        <f t="shared" si="4"/>
        <v>6421</v>
      </c>
      <c r="E61" s="44"/>
      <c r="F61" s="38">
        <f t="shared" si="1"/>
        <v>46.223329699423765</v>
      </c>
      <c r="G61" s="38">
        <f t="shared" si="2"/>
        <v>53.776670300576235</v>
      </c>
      <c r="H61" s="38">
        <f t="shared" si="3"/>
        <v>100</v>
      </c>
    </row>
    <row r="62" spans="1:12" s="3" customFormat="1" ht="12.25" customHeight="1" x14ac:dyDescent="0.25">
      <c r="A62" s="24"/>
      <c r="E62" s="24"/>
      <c r="F62" s="24"/>
      <c r="G62" s="24"/>
      <c r="H62" s="24"/>
    </row>
    <row r="63" spans="1:12" s="3" customFormat="1" ht="10.5" x14ac:dyDescent="0.25">
      <c r="A63" s="51" t="s">
        <v>62</v>
      </c>
      <c r="B63" s="51"/>
      <c r="C63" s="51"/>
      <c r="D63" s="51"/>
      <c r="E63" s="51"/>
      <c r="F63" s="51"/>
      <c r="G63" s="51"/>
      <c r="H63" s="51"/>
      <c r="J63" s="47"/>
      <c r="K63" s="48"/>
      <c r="L63" s="48"/>
    </row>
    <row r="64" spans="1:12" s="3" customFormat="1" ht="10.5" x14ac:dyDescent="0.25">
      <c r="A64" s="51" t="s">
        <v>63</v>
      </c>
      <c r="B64" s="51"/>
      <c r="C64" s="51"/>
      <c r="D64" s="51"/>
      <c r="E64" s="51"/>
      <c r="F64" s="51"/>
      <c r="G64" s="51"/>
      <c r="H64" s="51"/>
    </row>
    <row r="65" spans="1:12" s="5" customFormat="1" ht="12.25" customHeight="1" x14ac:dyDescent="0.25">
      <c r="A65" s="52" t="s">
        <v>42</v>
      </c>
      <c r="B65" s="52"/>
      <c r="C65" s="52"/>
      <c r="D65" s="52"/>
      <c r="E65" s="52"/>
      <c r="F65" s="52"/>
      <c r="G65" s="52"/>
      <c r="H65" s="52"/>
    </row>
    <row r="66" spans="1:12" s="5" customFormat="1" ht="12.25" customHeight="1" x14ac:dyDescent="0.25">
      <c r="A66" s="23" t="s">
        <v>44</v>
      </c>
      <c r="B66" s="6"/>
      <c r="C66" s="6"/>
      <c r="D66" s="6"/>
      <c r="E66" s="6"/>
      <c r="F66" s="6"/>
      <c r="G66" s="6"/>
      <c r="H66" s="6"/>
      <c r="J66" s="47"/>
      <c r="K66" s="49"/>
      <c r="L66" s="49"/>
    </row>
    <row r="67" spans="1:12" s="5" customFormat="1" ht="12.25" customHeight="1" x14ac:dyDescent="0.25">
      <c r="A67" s="23" t="s">
        <v>60</v>
      </c>
      <c r="B67" s="6"/>
      <c r="C67" s="6"/>
      <c r="D67" s="6"/>
      <c r="E67" s="6"/>
      <c r="F67" s="6"/>
      <c r="G67" s="6"/>
      <c r="H67" s="6"/>
      <c r="J67" s="47"/>
      <c r="K67" s="49"/>
      <c r="L67" s="49"/>
    </row>
    <row r="68" spans="1:12" s="5" customFormat="1" ht="12.25" customHeight="1" x14ac:dyDescent="0.25">
      <c r="A68" s="23" t="s">
        <v>57</v>
      </c>
      <c r="B68" s="6"/>
      <c r="C68" s="6"/>
      <c r="D68" s="6"/>
      <c r="E68" s="6"/>
      <c r="F68" s="6"/>
      <c r="G68" s="6"/>
      <c r="H68" s="6"/>
    </row>
    <row r="69" spans="1:12" s="5" customFormat="1" ht="17.5" customHeight="1" x14ac:dyDescent="0.25">
      <c r="A69" s="46" t="s">
        <v>64</v>
      </c>
      <c r="B69" s="6"/>
      <c r="C69" s="6"/>
      <c r="D69" s="6"/>
      <c r="E69" s="6"/>
      <c r="F69" s="6"/>
      <c r="G69" s="6"/>
      <c r="H69" s="14" t="s">
        <v>66</v>
      </c>
      <c r="J69" s="47"/>
    </row>
    <row r="70" spans="1:12" s="5" customFormat="1" ht="4.1500000000000004" customHeight="1" x14ac:dyDescent="0.25">
      <c r="A70" s="17"/>
      <c r="B70" s="17"/>
      <c r="C70" s="17"/>
      <c r="D70" s="17"/>
      <c r="E70" s="17"/>
      <c r="F70" s="17"/>
      <c r="G70" s="17"/>
      <c r="H70" s="17"/>
    </row>
  </sheetData>
  <mergeCells count="3">
    <mergeCell ref="A63:H63"/>
    <mergeCell ref="A64:H64"/>
    <mergeCell ref="A65:H65"/>
  </mergeCells>
  <pageMargins left="0.59055118110236227" right="0.59055118110236227" top="0.39370078740157483" bottom="0.19685039370078741" header="0.51181102362204722" footer="0.51181102362204722"/>
  <pageSetup paperSize="9" scale="94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2025</vt:lpstr>
      <vt:lpstr>'2025'!Zone_d_impression</vt:lpstr>
    </vt:vector>
  </TitlesOfParts>
  <Company>CTI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felsenheimer</dc:creator>
  <cp:lastModifiedBy>Wolf Tamea</cp:lastModifiedBy>
  <cp:lastPrinted>2026-02-12T10:28:31Z</cp:lastPrinted>
  <dcterms:created xsi:type="dcterms:W3CDTF">1999-01-29T13:26:37Z</dcterms:created>
  <dcterms:modified xsi:type="dcterms:W3CDTF">2026-03-13T08:57:27Z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ublication">
    <vt:lpwstr>Annuaire statistique</vt:lpwstr>
  </property>
</Properties>
</file>